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ltl_\Downloads\"/>
    </mc:Choice>
  </mc:AlternateContent>
  <xr:revisionPtr revIDLastSave="0" documentId="13_ncr:1_{91C698A7-8DAB-457C-ACE0-0BA8F5E56B1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Vendor &amp; Budget Tracker" sheetId="1" r:id="rId1"/>
    <sheet name="Vendor Database" sheetId="2" r:id="rId2"/>
  </sheets>
  <definedNames>
    <definedName name="Service">Vendor_database[Service / Category]</definedName>
    <definedName name="VendorList">Vendor_database[Vendor]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5" i="1" l="1"/>
  <c r="L7" i="1"/>
  <c r="L6" i="1"/>
  <c r="F11" i="1"/>
  <c r="E11" i="1"/>
  <c r="G9" i="1"/>
  <c r="G8" i="1"/>
  <c r="G7" i="1"/>
  <c r="G6" i="1"/>
  <c r="G5" i="1"/>
  <c r="G4" i="1"/>
  <c r="G11" i="1" s="1"/>
</calcChain>
</file>

<file path=xl/sharedStrings.xml><?xml version="1.0" encoding="utf-8"?>
<sst xmlns="http://schemas.openxmlformats.org/spreadsheetml/2006/main" count="91" uniqueCount="70">
  <si>
    <t>Vendor &amp; Budget Tracker — Simulated Example</t>
  </si>
  <si>
    <t>Created to demonstrate procurement and budget-control methodology. Not tied to a real client engagement.</t>
  </si>
  <si>
    <t>Vendor</t>
  </si>
  <si>
    <t>Service / Category</t>
  </si>
  <si>
    <t>Quote Received</t>
  </si>
  <si>
    <t>Status</t>
  </si>
  <si>
    <t>Budget Allocated</t>
  </si>
  <si>
    <t>Actual Spend</t>
  </si>
  <si>
    <t>Difference</t>
  </si>
  <si>
    <t>Deadline</t>
  </si>
  <si>
    <t>Notes</t>
  </si>
  <si>
    <t>Northline Catering Co.</t>
  </si>
  <si>
    <t>Event catering</t>
  </si>
  <si>
    <t>2026-06-02</t>
  </si>
  <si>
    <t>Approved</t>
  </si>
  <si>
    <t>2026-06-20</t>
  </si>
  <si>
    <t>Confirmed headcount 45</t>
  </si>
  <si>
    <t>BrightSpace Coworking</t>
  </si>
  <si>
    <t>Venue rental</t>
  </si>
  <si>
    <t>2026-06-03</t>
  </si>
  <si>
    <t>Deposit paid</t>
  </si>
  <si>
    <t>QuickPrint Supplies</t>
  </si>
  <si>
    <t>Printed materials</t>
  </si>
  <si>
    <t>2026-06-05</t>
  </si>
  <si>
    <t>Pending</t>
  </si>
  <si>
    <t>2026-06-18</t>
  </si>
  <si>
    <t>Awaiting revised quote</t>
  </si>
  <si>
    <t>Alvarez Logistics</t>
  </si>
  <si>
    <t>Equipment transport</t>
  </si>
  <si>
    <t>2026-06-06</t>
  </si>
  <si>
    <t>Rejected</t>
  </si>
  <si>
    <t>2026-06-19</t>
  </si>
  <si>
    <t>Quote over budget, sourcing alt.</t>
  </si>
  <si>
    <t>GreenLeaf Office Supplies</t>
  </si>
  <si>
    <t>Office consumables</t>
  </si>
  <si>
    <t>2026-06-07</t>
  </si>
  <si>
    <t>2026-06-15</t>
  </si>
  <si>
    <t>Rows above are illustrative example data. Replace with real vendor entries; keep the Difference formula (column G) intact.</t>
  </si>
  <si>
    <t>TOTAL</t>
  </si>
  <si>
    <t>Location</t>
  </si>
  <si>
    <t>City</t>
  </si>
  <si>
    <t>Country</t>
  </si>
  <si>
    <t>Contact number</t>
  </si>
  <si>
    <t>Email</t>
  </si>
  <si>
    <t>7500 Rockaway Blvd, Woodhaven, NY 11421, Estados Unidos</t>
  </si>
  <si>
    <t>USA</t>
  </si>
  <si>
    <t>New York</t>
  </si>
  <si>
    <t>212-555-1234</t>
  </si>
  <si>
    <t>Northline.Catering.Co@example.com</t>
  </si>
  <si>
    <t>400 Newbury St #300, Boston, MA 02215, Estados Unidos</t>
  </si>
  <si>
    <t>Boston</t>
  </si>
  <si>
    <t>617-555-0143</t>
  </si>
  <si>
    <t>BrightSpace_Coworking@example.com</t>
  </si>
  <si>
    <t>713 Lower North East Rd, Paradise SA 5075, Australia</t>
  </si>
  <si>
    <t>Australia</t>
  </si>
  <si>
    <t>Adelaide</t>
  </si>
  <si>
    <t>08-8201-1111</t>
  </si>
  <si>
    <t>QuickPrint-Supplies@example.com</t>
  </si>
  <si>
    <t>Cam. de las Torres, 2, Casco Antiguo, 50002 Zaragoza, España</t>
  </si>
  <si>
    <t>Spain</t>
  </si>
  <si>
    <t>Zaragoza</t>
  </si>
  <si>
    <t>976-12-34-56</t>
  </si>
  <si>
    <t>Alvarez___Logistics@example.com</t>
  </si>
  <si>
    <t>Av. 68 #49A-47, Bogotá</t>
  </si>
  <si>
    <t>Colombia</t>
  </si>
  <si>
    <t>Bogotá</t>
  </si>
  <si>
    <t>315-650-3328</t>
  </si>
  <si>
    <t>GreenLeaf.Office.Supplies@example.com</t>
  </si>
  <si>
    <t>Vendor Status Summary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</si>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</sst>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"/>
    <numFmt numFmtId="166" formatCode="\$#,##0;&quot;($&quot;#,##0\);\-"/>
  </numFmts>
  <fonts count="14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FFFFFF"/>
      <name val="Arial"/>
      <family val="2"/>
    </font>
    <font>
      <i/>
      <sz val="9"/>
      <color rgb="FF777777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1E7145"/>
      <name val="Arial"/>
      <family val="2"/>
    </font>
    <font>
      <b/>
      <sz val="10"/>
      <color rgb="FFB7791F"/>
      <name val="Arial"/>
      <family val="2"/>
    </font>
    <font>
      <b/>
      <sz val="10"/>
      <color rgb="FFB42318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  <charset val="1"/>
    </font>
    <font>
      <b/>
      <sz val="11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1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/>
      <bottom/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7">
    <xf numFmtId="0" fontId="0" fillId="0" borderId="0" xfId="0"/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3" borderId="1" xfId="0" applyFill="1" applyBorder="1"/>
    <xf numFmtId="0" fontId="4" fillId="0" borderId="0" xfId="0" applyFont="1" applyFill="1" applyBorder="1" applyAlignment="1">
      <alignment horizontal="center" vertical="center" wrapText="1"/>
    </xf>
    <xf numFmtId="164" fontId="5" fillId="0" borderId="0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164" fontId="5" fillId="0" borderId="9" xfId="0" applyNumberFormat="1" applyFont="1" applyBorder="1" applyAlignment="1">
      <alignment horizontal="center" vertical="center" wrapText="1"/>
    </xf>
    <xf numFmtId="165" fontId="5" fillId="0" borderId="9" xfId="0" applyNumberFormat="1" applyFont="1" applyBorder="1" applyAlignment="1">
      <alignment horizontal="center" vertical="center" wrapText="1"/>
    </xf>
    <xf numFmtId="165" fontId="10" fillId="0" borderId="1" xfId="1" applyNumberFormat="1" applyBorder="1" applyAlignment="1">
      <alignment horizontal="center" vertical="center" wrapText="1"/>
    </xf>
    <xf numFmtId="165" fontId="10" fillId="0" borderId="9" xfId="1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9" fillId="3" borderId="2" xfId="0" applyFont="1" applyFill="1" applyBorder="1" applyAlignment="1">
      <alignment horizontal="right" vertical="center"/>
    </xf>
    <xf numFmtId="0" fontId="11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center" vertical="center" wrapText="1"/>
    </xf>
    <xf numFmtId="166" fontId="5" fillId="0" borderId="9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164" fontId="1" fillId="0" borderId="9" xfId="0" applyNumberFormat="1" applyFont="1" applyBorder="1" applyAlignment="1">
      <alignment horizontal="center" vertical="center" wrapText="1"/>
    </xf>
    <xf numFmtId="165" fontId="1" fillId="0" borderId="9" xfId="0" applyNumberFormat="1" applyFont="1" applyBorder="1" applyAlignment="1">
      <alignment horizontal="center" vertical="center" wrapText="1"/>
    </xf>
    <xf numFmtId="166" fontId="1" fillId="0" borderId="9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/>
    </xf>
    <xf numFmtId="166" fontId="0" fillId="3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yyyy\-mm\-dd"/>
      <alignment horizontal="center" vertical="center" textRotation="0" wrapText="1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\$#,##0;&quot;($&quot;#,##0\);\-"/>
      <alignment horizontal="center" vertical="center" textRotation="0" wrapText="1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\$#,##0"/>
      <alignment horizontal="center" vertical="center" textRotation="0" wrapText="1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\$#,##0"/>
      <alignment horizontal="center" vertical="center" textRotation="0" wrapText="1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E7145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yyyy\-mm\-dd"/>
      <alignment horizontal="center" vertical="center" textRotation="0" wrapText="1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\$#,##0"/>
      <alignment horizontal="center" vertical="center" textRotation="0" wrapText="1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\$#,##0"/>
      <alignment horizontal="center" vertical="center" textRotation="0" wrapText="1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\$#,##0"/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yyyy\-mm\-dd"/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/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1E7145"/>
      <rgbColor rgb="FFB7B7B7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42318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CO"/>
              <a:t>Budget Allocated vs. Actual Spend by Vendor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'Vendor &amp; Budget Tracker'!$E$3</c:f>
              <c:strCache>
                <c:ptCount val="1"/>
                <c:pt idx="0">
                  <c:v>Budget Allocated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'Vendor &amp; Budget Tracker'!$A$4:$A$9</c:f>
              <c:strCache>
                <c:ptCount val="5"/>
                <c:pt idx="0">
                  <c:v>Northline Catering Co.</c:v>
                </c:pt>
                <c:pt idx="1">
                  <c:v>BrightSpace Coworking</c:v>
                </c:pt>
                <c:pt idx="2">
                  <c:v>QuickPrint Supplies</c:v>
                </c:pt>
                <c:pt idx="3">
                  <c:v>Alvarez Logistics</c:v>
                </c:pt>
                <c:pt idx="4">
                  <c:v>GreenLeaf Office Supplies</c:v>
                </c:pt>
              </c:strCache>
            </c:strRef>
          </c:cat>
          <c:val>
            <c:numRef>
              <c:f>'Vendor &amp; Budget Tracker'!$E$4:$E$9</c:f>
              <c:numCache>
                <c:formatCode>\$#,##0</c:formatCode>
                <c:ptCount val="6"/>
                <c:pt idx="0">
                  <c:v>1200</c:v>
                </c:pt>
                <c:pt idx="1">
                  <c:v>600</c:v>
                </c:pt>
                <c:pt idx="2">
                  <c:v>250</c:v>
                </c:pt>
                <c:pt idx="3">
                  <c:v>400</c:v>
                </c:pt>
                <c:pt idx="4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71-49A3-941E-C39671CE08B7}"/>
            </c:ext>
          </c:extLst>
        </c:ser>
        <c:ser>
          <c:idx val="1"/>
          <c:order val="1"/>
          <c:tx>
            <c:strRef>
              <c:f>'Vendor &amp; Budget Tracker'!$F$3</c:f>
              <c:strCache>
                <c:ptCount val="1"/>
                <c:pt idx="0">
                  <c:v>Actual Spend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'Vendor &amp; Budget Tracker'!$A$4:$A$9</c:f>
              <c:strCache>
                <c:ptCount val="5"/>
                <c:pt idx="0">
                  <c:v>Northline Catering Co.</c:v>
                </c:pt>
                <c:pt idx="1">
                  <c:v>BrightSpace Coworking</c:v>
                </c:pt>
                <c:pt idx="2">
                  <c:v>QuickPrint Supplies</c:v>
                </c:pt>
                <c:pt idx="3">
                  <c:v>Alvarez Logistics</c:v>
                </c:pt>
                <c:pt idx="4">
                  <c:v>GreenLeaf Office Supplies</c:v>
                </c:pt>
              </c:strCache>
            </c:strRef>
          </c:cat>
          <c:val>
            <c:numRef>
              <c:f>'Vendor &amp; Budget Tracker'!$F$4:$F$9</c:f>
              <c:numCache>
                <c:formatCode>\$#,##0</c:formatCode>
                <c:ptCount val="6"/>
                <c:pt idx="0">
                  <c:v>1150</c:v>
                </c:pt>
                <c:pt idx="1">
                  <c:v>600</c:v>
                </c:pt>
                <c:pt idx="2">
                  <c:v>0</c:v>
                </c:pt>
                <c:pt idx="3">
                  <c:v>0</c:v>
                </c:pt>
                <c:pt idx="4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71-49A3-941E-C39671CE08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163466895"/>
        <c:axId val="163469775"/>
      </c:barChart>
      <c:catAx>
        <c:axId val="16346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3469775"/>
        <c:crosses val="autoZero"/>
        <c:auto val="1"/>
        <c:lblAlgn val="ctr"/>
        <c:lblOffset val="100"/>
        <c:noMultiLvlLbl val="0"/>
      </c:catAx>
      <c:valAx>
        <c:axId val="16346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346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Vendor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248-4D96-BB83-E1B722CE871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248-4D96-BB83-E1B722CE8717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F248-4D96-BB83-E1B722CE871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'Vendor &amp; Budget Tracker'!$K$5:$K$7</c:f>
              <c:strCache>
                <c:ptCount val="3"/>
                <c:pt idx="0">
                  <c:v>Approved</c:v>
                </c:pt>
                <c:pt idx="1">
                  <c:v>Pending</c:v>
                </c:pt>
                <c:pt idx="2">
                  <c:v>Rejected</c:v>
                </c:pt>
              </c:strCache>
            </c:strRef>
          </c:cat>
          <c:val>
            <c:numRef>
              <c:f>'Vendor &amp; Budget Tracker'!$L$5:$L$7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48-4D96-BB83-E1B722CE871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773007</xdr:colOff>
      <xdr:row>11</xdr:row>
      <xdr:rowOff>32179</xdr:rowOff>
    </xdr:from>
    <xdr:to>
      <xdr:col>7</xdr:col>
      <xdr:colOff>753534</xdr:colOff>
      <xdr:row>26</xdr:row>
      <xdr:rowOff>21173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593E00-0108-243A-8F48-F04C39E4D8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228600</xdr:colOff>
      <xdr:row>9</xdr:row>
      <xdr:rowOff>114300</xdr:rowOff>
    </xdr:from>
    <xdr:to>
      <xdr:col>13</xdr:col>
      <xdr:colOff>25400</xdr:colOff>
      <xdr:row>24</xdr:row>
      <xdr:rowOff>21167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5E2F2A-94B1-6837-A34F-DE5AE932E4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</xdr:colOff>
      <xdr:row>0</xdr:row>
      <xdr:rowOff>22860</xdr:rowOff>
    </xdr:from>
    <xdr:to>
      <xdr:col>7</xdr:col>
      <xdr:colOff>2232660</xdr:colOff>
      <xdr:row>1</xdr:row>
      <xdr:rowOff>358140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5941DAC-CD61-8D34-9921-111CE7B7BEAD}"/>
            </a:ext>
          </a:extLst>
        </xdr:cNvPr>
        <xdr:cNvSpPr/>
      </xdr:nvSpPr>
      <xdr:spPr>
        <a:xfrm>
          <a:off x="678180" y="22860"/>
          <a:ext cx="11734800" cy="5181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600">
              <a:solidFill>
                <a:schemeClr val="bg1"/>
              </a:solidFill>
            </a:rPr>
            <a:t>VENDOR</a:t>
          </a:r>
          <a:r>
            <a:rPr lang="es-CO" sz="1600" baseline="0">
              <a:solidFill>
                <a:schemeClr val="bg1"/>
              </a:solidFill>
            </a:rPr>
            <a:t> DATABASE</a:t>
          </a:r>
          <a:endParaRPr lang="es-CO" sz="1600">
            <a:solidFill>
              <a:schemeClr val="bg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13F96-21BC-43FC-9AF5-194A24BEA23D}" name="Vendor_Budget_Tracker" displayName="Vendor_Budget_Tracker" ref="A3:I9" totalsRowShown="0" headerRowDxfId="0" dataDxfId="1" headerRowBorderDxfId="12" tableBorderDxfId="13" totalsRowBorderDxfId="11">
  <autoFilter ref="A3:I9" xr:uid="{B1513F96-21BC-43FC-9AF5-194A24BEA23D}"/>
  <tableColumns count="9">
    <tableColumn id="1" xr3:uid="{FCECC76C-5794-4F1F-B5A2-856347C61EF2}" name="Vendor" dataDxfId="10"/>
    <tableColumn id="2" xr3:uid="{FE368EAE-71E1-48CF-B8B7-F92154F7660A}" name="Service / Category" dataDxfId="9"/>
    <tableColumn id="3" xr3:uid="{7A879888-7270-42BE-ABB6-50E2A6D21FF6}" name="Quote Received" dataDxfId="8"/>
    <tableColumn id="4" xr3:uid="{6AE1CC53-A90E-48B3-B11D-A9A2EF4BCD0C}" name="Status" dataDxfId="7"/>
    <tableColumn id="5" xr3:uid="{D9448ADF-1510-41F7-8BB2-06CF13A95853}" name="Budget Allocated" dataDxfId="6"/>
    <tableColumn id="6" xr3:uid="{7A1CA289-5167-409B-8878-EC4FF3698814}" name="Actual Spend" dataDxfId="5"/>
    <tableColumn id="7" xr3:uid="{083CD492-BB7E-4AB2-9A16-5816723DD863}" name="Difference" dataDxfId="4">
      <calculatedColumnFormula>E4-F4</calculatedColumnFormula>
    </tableColumn>
    <tableColumn id="8" xr3:uid="{0CD96847-A9E3-4DD5-BA09-1AB51C9B1759}" name="Deadline" dataDxfId="3"/>
    <tableColumn id="9" xr3:uid="{8906A1C0-3193-457F-8619-DBC3526DCC82}" name="Notes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941982-DE8B-4865-A3D9-A7EA86E4877F}" name="Vendor_database" displayName="Vendor_database" ref="B4:H9" totalsRowShown="0" headerRowDxfId="25" dataDxfId="23" headerRowBorderDxfId="24" tableBorderDxfId="22" totalsRowBorderDxfId="21">
  <autoFilter ref="B4:H9" xr:uid="{9B941982-DE8B-4865-A3D9-A7EA86E4877F}"/>
  <tableColumns count="7">
    <tableColumn id="1" xr3:uid="{F45603EE-DFCA-4BDD-B3E9-C1B781E4A829}" name="Vendor" dataDxfId="20"/>
    <tableColumn id="2" xr3:uid="{4C9CAA81-F06F-408A-B7D9-743865A766DE}" name="Service / Category" dataDxfId="19"/>
    <tableColumn id="3" xr3:uid="{02B7A7B8-FBB8-4178-B9E5-3D649DC02D41}" name="Location" dataDxfId="18"/>
    <tableColumn id="4" xr3:uid="{E39E0508-9334-4999-B19E-07033941E4BA}" name="Country" dataDxfId="17"/>
    <tableColumn id="5" xr3:uid="{62C54711-A253-436B-A84D-4E176C16AADF}" name="City" dataDxfId="16"/>
    <tableColumn id="6" xr3:uid="{498587EB-1209-424B-9846-901D965C2DD1}" name="Contact number" dataDxfId="15"/>
    <tableColumn id="7" xr3:uid="{5A5BCF23-E1AE-49D3-A443-3E1190885ED0}" name="Email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QuickPrint-Supplies@example.com" TargetMode="External"/><Relationship Id="rId7" Type="http://schemas.openxmlformats.org/officeDocument/2006/relationships/table" Target="../tables/table2.xml"/><Relationship Id="rId2" Type="http://schemas.openxmlformats.org/officeDocument/2006/relationships/hyperlink" Target="mailto:BrightSpace_Coworking@example.com" TargetMode="External"/><Relationship Id="rId1" Type="http://schemas.openxmlformats.org/officeDocument/2006/relationships/hyperlink" Target="mailto:Northline.Catering.Co@example.com" TargetMode="External"/><Relationship Id="rId6" Type="http://schemas.openxmlformats.org/officeDocument/2006/relationships/drawing" Target="../drawings/drawing2.xml"/><Relationship Id="rId5" Type="http://schemas.openxmlformats.org/officeDocument/2006/relationships/hyperlink" Target="mailto:GreenLeaf.Office.Supplies@example.com" TargetMode="External"/><Relationship Id="rId4" Type="http://schemas.openxmlformats.org/officeDocument/2006/relationships/hyperlink" Target="mailto:Alvarez___Logistics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90" zoomScaleNormal="90" workbookViewId="0">
      <pane ySplit="3" topLeftCell="A4" activePane="bottomLeft" state="frozen"/>
      <selection pane="bottomLeft" activeCell="O8" sqref="O8"/>
    </sheetView>
  </sheetViews>
  <sheetFormatPr defaultColWidth="8.6640625" defaultRowHeight="14.4" x14ac:dyDescent="0.3"/>
  <cols>
    <col min="1" max="1" width="22" customWidth="1"/>
    <col min="2" max="2" width="20" customWidth="1"/>
    <col min="3" max="3" width="17.33203125" customWidth="1"/>
    <col min="4" max="4" width="12" customWidth="1"/>
    <col min="5" max="5" width="17.88671875" customWidth="1"/>
    <col min="6" max="6" width="14.44140625" customWidth="1"/>
    <col min="7" max="8" width="14" customWidth="1"/>
    <col min="9" max="9" width="28" customWidth="1"/>
    <col min="11" max="11" width="11.109375" customWidth="1"/>
    <col min="12" max="12" width="13.21875" customWidth="1"/>
  </cols>
  <sheetData>
    <row r="1" spans="1:12" ht="24" customHeight="1" x14ac:dyDescent="0.3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12" ht="18" customHeight="1" x14ac:dyDescent="0.3">
      <c r="A2" s="29" t="s">
        <v>1</v>
      </c>
      <c r="B2" s="29"/>
      <c r="C2" s="29"/>
      <c r="D2" s="29"/>
      <c r="E2" s="29"/>
      <c r="F2" s="29"/>
      <c r="G2" s="29"/>
      <c r="H2" s="29"/>
      <c r="I2" s="29"/>
    </row>
    <row r="3" spans="1:12" ht="30" customHeight="1" x14ac:dyDescent="0.3">
      <c r="A3" s="15" t="s">
        <v>2</v>
      </c>
      <c r="B3" s="16" t="s">
        <v>3</v>
      </c>
      <c r="C3" s="16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16" t="s">
        <v>9</v>
      </c>
      <c r="I3" s="17" t="s">
        <v>10</v>
      </c>
      <c r="K3" s="32" t="s">
        <v>68</v>
      </c>
      <c r="L3" s="32"/>
    </row>
    <row r="4" spans="1:12" ht="19.5" customHeight="1" x14ac:dyDescent="0.3">
      <c r="A4" s="14" t="s">
        <v>11</v>
      </c>
      <c r="B4" s="1" t="s">
        <v>12</v>
      </c>
      <c r="C4" s="2" t="s">
        <v>13</v>
      </c>
      <c r="D4" s="3" t="s">
        <v>24</v>
      </c>
      <c r="E4" s="4">
        <v>1200</v>
      </c>
      <c r="F4" s="4">
        <v>1150</v>
      </c>
      <c r="G4" s="5">
        <f>E4-F4</f>
        <v>50</v>
      </c>
      <c r="H4" s="2" t="s">
        <v>15</v>
      </c>
      <c r="I4" s="34" t="s">
        <v>16</v>
      </c>
      <c r="K4" s="26" t="s">
        <v>5</v>
      </c>
      <c r="L4" s="26" t="s">
        <v>69</v>
      </c>
    </row>
    <row r="5" spans="1:12" ht="19.5" customHeight="1" x14ac:dyDescent="0.3">
      <c r="A5" s="14" t="s">
        <v>17</v>
      </c>
      <c r="B5" s="1" t="s">
        <v>18</v>
      </c>
      <c r="C5" s="2" t="s">
        <v>19</v>
      </c>
      <c r="D5" s="3" t="s">
        <v>14</v>
      </c>
      <c r="E5" s="4">
        <v>600</v>
      </c>
      <c r="F5" s="4">
        <v>600</v>
      </c>
      <c r="G5" s="5">
        <f>E5-F5</f>
        <v>0</v>
      </c>
      <c r="H5" s="2" t="s">
        <v>15</v>
      </c>
      <c r="I5" s="34" t="s">
        <v>20</v>
      </c>
      <c r="K5" s="27" t="s">
        <v>14</v>
      </c>
      <c r="L5" s="45">
        <f>COUNTIF(D4:D9,K5)</f>
        <v>2</v>
      </c>
    </row>
    <row r="6" spans="1:12" ht="19.5" customHeight="1" x14ac:dyDescent="0.3">
      <c r="A6" s="14" t="s">
        <v>21</v>
      </c>
      <c r="B6" s="1" t="s">
        <v>22</v>
      </c>
      <c r="C6" s="2" t="s">
        <v>23</v>
      </c>
      <c r="D6" s="6" t="s">
        <v>24</v>
      </c>
      <c r="E6" s="4">
        <v>250</v>
      </c>
      <c r="F6" s="4">
        <v>0</v>
      </c>
      <c r="G6" s="5">
        <f>E6-F6</f>
        <v>250</v>
      </c>
      <c r="H6" s="2" t="s">
        <v>25</v>
      </c>
      <c r="I6" s="35" t="s">
        <v>26</v>
      </c>
      <c r="K6" s="27" t="s">
        <v>24</v>
      </c>
      <c r="L6" s="45">
        <f>COUNTIF(D4:D9,K6)</f>
        <v>2</v>
      </c>
    </row>
    <row r="7" spans="1:12" x14ac:dyDescent="0.3">
      <c r="A7" s="14" t="s">
        <v>27</v>
      </c>
      <c r="B7" s="1" t="s">
        <v>28</v>
      </c>
      <c r="C7" s="2" t="s">
        <v>29</v>
      </c>
      <c r="D7" s="7" t="s">
        <v>30</v>
      </c>
      <c r="E7" s="4">
        <v>400</v>
      </c>
      <c r="F7" s="4">
        <v>0</v>
      </c>
      <c r="G7" s="5">
        <f>E7-F7</f>
        <v>400</v>
      </c>
      <c r="H7" s="2" t="s">
        <v>31</v>
      </c>
      <c r="I7" s="35" t="s">
        <v>32</v>
      </c>
      <c r="K7" s="27" t="s">
        <v>30</v>
      </c>
      <c r="L7" s="45">
        <f>COUNTIF(D4:D9,K7)</f>
        <v>1</v>
      </c>
    </row>
    <row r="8" spans="1:12" ht="26.4" x14ac:dyDescent="0.3">
      <c r="A8" s="14" t="s">
        <v>33</v>
      </c>
      <c r="B8" s="19" t="s">
        <v>34</v>
      </c>
      <c r="C8" s="20" t="s">
        <v>35</v>
      </c>
      <c r="D8" s="36" t="s">
        <v>14</v>
      </c>
      <c r="E8" s="21">
        <v>180</v>
      </c>
      <c r="F8" s="21">
        <v>175</v>
      </c>
      <c r="G8" s="37">
        <f>E8-F8</f>
        <v>5</v>
      </c>
      <c r="H8" s="20" t="s">
        <v>36</v>
      </c>
      <c r="I8" s="38"/>
    </row>
    <row r="9" spans="1:12" x14ac:dyDescent="0.3">
      <c r="A9" s="39"/>
      <c r="B9" s="40"/>
      <c r="C9" s="41"/>
      <c r="D9" s="36"/>
      <c r="E9" s="42"/>
      <c r="F9" s="42"/>
      <c r="G9" s="43">
        <f>E9-F9</f>
        <v>0</v>
      </c>
      <c r="H9" s="41"/>
      <c r="I9" s="44"/>
    </row>
    <row r="10" spans="1:12" ht="11.85" customHeight="1" x14ac:dyDescent="0.3">
      <c r="A10" s="30" t="s">
        <v>37</v>
      </c>
      <c r="B10" s="30"/>
      <c r="C10" s="30"/>
      <c r="D10" s="30"/>
      <c r="E10" s="30"/>
      <c r="F10" s="30"/>
      <c r="G10" s="30"/>
      <c r="H10" s="30"/>
      <c r="I10" s="30"/>
    </row>
    <row r="11" spans="1:12" ht="21.75" customHeight="1" x14ac:dyDescent="0.3">
      <c r="A11" s="31" t="s">
        <v>38</v>
      </c>
      <c r="B11" s="31"/>
      <c r="C11" s="31"/>
      <c r="D11" s="31"/>
      <c r="E11" s="46">
        <f>SUM(E4:E9)</f>
        <v>2630</v>
      </c>
      <c r="F11" s="46">
        <f>SUM(F4:F9)</f>
        <v>1925</v>
      </c>
      <c r="G11" s="46">
        <f>SUM(G4:G9)</f>
        <v>705</v>
      </c>
      <c r="H11" s="8"/>
      <c r="I11" s="8"/>
    </row>
  </sheetData>
  <mergeCells count="5">
    <mergeCell ref="A1:I1"/>
    <mergeCell ref="A2:I2"/>
    <mergeCell ref="A10:I10"/>
    <mergeCell ref="A11:D11"/>
    <mergeCell ref="K3:L3"/>
  </mergeCells>
  <dataValidations count="3">
    <dataValidation type="list" allowBlank="1" sqref="D4:D28" xr:uid="{00000000-0002-0000-0000-000000000000}">
      <formula1>"Pending,Approved,Rejected"</formula1>
      <formula2>0</formula2>
    </dataValidation>
    <dataValidation type="list" allowBlank="1" showInputMessage="1" showErrorMessage="1" sqref="A4:A8" xr:uid="{9F7F764F-4ECC-4D9E-AF69-06D52211E81D}">
      <formula1>VendorList</formula1>
    </dataValidation>
    <dataValidation type="list" allowBlank="1" showInputMessage="1" showErrorMessage="1" sqref="B4" xr:uid="{879BDAAA-C086-4D83-8C5E-E18573A976BD}">
      <formula1>Service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62358-D8B5-4855-B2AE-1656F471BC74}">
  <dimension ref="A2:J9"/>
  <sheetViews>
    <sheetView workbookViewId="0">
      <selection activeCell="C4" sqref="C4"/>
    </sheetView>
  </sheetViews>
  <sheetFormatPr defaultRowHeight="14.4" x14ac:dyDescent="0.3"/>
  <cols>
    <col min="2" max="2" width="23.77734375" customWidth="1"/>
    <col min="3" max="3" width="20.109375" customWidth="1"/>
    <col min="4" max="4" width="35.77734375" customWidth="1"/>
    <col min="5" max="5" width="21.6640625" customWidth="1"/>
    <col min="6" max="6" width="17.6640625" customWidth="1"/>
    <col min="7" max="7" width="20.5546875" customWidth="1"/>
    <col min="8" max="8" width="33.21875" customWidth="1"/>
    <col min="9" max="9" width="17.88671875" customWidth="1"/>
    <col min="10" max="10" width="22.6640625" customWidth="1"/>
  </cols>
  <sheetData>
    <row r="2" spans="1:10" ht="29.4" customHeight="1" x14ac:dyDescent="0.3"/>
    <row r="3" spans="1:10" ht="18" customHeight="1" x14ac:dyDescent="0.3">
      <c r="A3" s="13"/>
      <c r="B3" s="33" t="s">
        <v>1</v>
      </c>
      <c r="C3" s="33"/>
      <c r="D3" s="33"/>
      <c r="E3" s="33"/>
      <c r="F3" s="33"/>
      <c r="G3" s="33"/>
      <c r="H3" s="33"/>
      <c r="I3" s="13"/>
    </row>
    <row r="4" spans="1:10" ht="33.6" customHeight="1" x14ac:dyDescent="0.3">
      <c r="B4" s="15" t="s">
        <v>2</v>
      </c>
      <c r="C4" s="16" t="s">
        <v>3</v>
      </c>
      <c r="D4" s="16" t="s">
        <v>39</v>
      </c>
      <c r="E4" s="16" t="s">
        <v>41</v>
      </c>
      <c r="F4" s="16" t="s">
        <v>40</v>
      </c>
      <c r="G4" s="16" t="s">
        <v>42</v>
      </c>
      <c r="H4" s="17" t="s">
        <v>43</v>
      </c>
      <c r="I4" s="9"/>
      <c r="J4" s="9"/>
    </row>
    <row r="5" spans="1:10" ht="26.4" x14ac:dyDescent="0.3">
      <c r="B5" s="14" t="s">
        <v>11</v>
      </c>
      <c r="C5" s="1" t="s">
        <v>12</v>
      </c>
      <c r="D5" s="2" t="s">
        <v>44</v>
      </c>
      <c r="E5" s="24" t="s">
        <v>45</v>
      </c>
      <c r="F5" s="4" t="s">
        <v>46</v>
      </c>
      <c r="G5" s="4" t="s">
        <v>47</v>
      </c>
      <c r="H5" s="22" t="s">
        <v>48</v>
      </c>
      <c r="I5" s="10"/>
      <c r="J5" s="11"/>
    </row>
    <row r="6" spans="1:10" ht="28.8" x14ac:dyDescent="0.3">
      <c r="B6" s="14" t="s">
        <v>17</v>
      </c>
      <c r="C6" s="1" t="s">
        <v>18</v>
      </c>
      <c r="D6" s="2" t="s">
        <v>49</v>
      </c>
      <c r="E6" s="24" t="s">
        <v>45</v>
      </c>
      <c r="F6" s="4" t="s">
        <v>50</v>
      </c>
      <c r="G6" s="4" t="s">
        <v>51</v>
      </c>
      <c r="H6" s="22" t="s">
        <v>52</v>
      </c>
      <c r="I6" s="10"/>
      <c r="J6" s="11"/>
    </row>
    <row r="7" spans="1:10" ht="26.4" x14ac:dyDescent="0.3">
      <c r="B7" s="14" t="s">
        <v>21</v>
      </c>
      <c r="C7" s="1" t="s">
        <v>22</v>
      </c>
      <c r="D7" s="2" t="s">
        <v>53</v>
      </c>
      <c r="E7" s="24" t="s">
        <v>54</v>
      </c>
      <c r="F7" s="4" t="s">
        <v>55</v>
      </c>
      <c r="G7" s="4" t="s">
        <v>56</v>
      </c>
      <c r="H7" s="22" t="s">
        <v>57</v>
      </c>
      <c r="I7" s="10"/>
      <c r="J7" s="12"/>
    </row>
    <row r="8" spans="1:10" ht="26.4" x14ac:dyDescent="0.3">
      <c r="B8" s="14" t="s">
        <v>27</v>
      </c>
      <c r="C8" s="1" t="s">
        <v>28</v>
      </c>
      <c r="D8" s="2" t="s">
        <v>58</v>
      </c>
      <c r="E8" s="24" t="s">
        <v>59</v>
      </c>
      <c r="F8" s="4" t="s">
        <v>60</v>
      </c>
      <c r="G8" s="4" t="s">
        <v>61</v>
      </c>
      <c r="H8" s="22" t="s">
        <v>62</v>
      </c>
      <c r="I8" s="10"/>
      <c r="J8" s="12"/>
    </row>
    <row r="9" spans="1:10" ht="28.8" x14ac:dyDescent="0.3">
      <c r="B9" s="18" t="s">
        <v>33</v>
      </c>
      <c r="C9" s="19" t="s">
        <v>34</v>
      </c>
      <c r="D9" s="20" t="s">
        <v>63</v>
      </c>
      <c r="E9" s="25" t="s">
        <v>64</v>
      </c>
      <c r="F9" s="21" t="s">
        <v>65</v>
      </c>
      <c r="G9" s="21" t="s">
        <v>66</v>
      </c>
      <c r="H9" s="23" t="s">
        <v>67</v>
      </c>
      <c r="I9" s="10"/>
      <c r="J9" s="11"/>
    </row>
  </sheetData>
  <mergeCells count="1">
    <mergeCell ref="B3:H3"/>
  </mergeCells>
  <hyperlinks>
    <hyperlink ref="H5" r:id="rId1" xr:uid="{B46F92A2-65D3-427D-96D4-73C3DD4B4B99}"/>
    <hyperlink ref="H6" r:id="rId2" xr:uid="{47E0C67B-4120-47F8-BB9F-E30F5691F441}"/>
    <hyperlink ref="H7" r:id="rId3" xr:uid="{FB726130-2F3D-4C62-A260-B566DB7412FA}"/>
    <hyperlink ref="H8" r:id="rId4" xr:uid="{D88F521C-7F86-47FA-B88E-B252EE9E20C1}"/>
    <hyperlink ref="H9" r:id="rId5" xr:uid="{249ACF2A-1248-44D9-A714-0449DDD7FE3A}"/>
  </hyperlinks>
  <pageMargins left="0.7" right="0.7" top="0.75" bottom="0.75" header="0.3" footer="0.3"/>
  <drawing r:id="rId6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Vendor &amp; Budget Tracker</vt:lpstr>
      <vt:lpstr>Vendor Database</vt:lpstr>
      <vt:lpstr>Service</vt:lpstr>
      <vt:lpstr>VendorList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leo torres</cp:lastModifiedBy>
  <cp:revision>0</cp:revision>
  <dcterms:created xsi:type="dcterms:W3CDTF">2026-08-03T17:14:51Z</dcterms:created>
  <dcterms:modified xsi:type="dcterms:W3CDTF">2026-08-03T19:30:02Z</dcterms:modified>
  <dc:language>en-US</dc:language>
</cp:coreProperties>
</file>